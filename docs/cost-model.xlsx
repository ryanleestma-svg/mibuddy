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ns1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ns1:id="rId1"/>
    <sheet name="Model" sheetId="2" state="visible" ns1:id="rId2"/>
    <sheet name="Sensitivity" sheetId="3" state="visible" ns1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$#,##0.00;($#,##0.00);-"/>
    <numFmt numFmtId="166" formatCode="$#,##0.000;($#,##0.000);-"/>
    <numFmt numFmtId="167" formatCode="0.0x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i val="1"/>
      <color rgb="00CC0000"/>
      <sz val="9"/>
    </font>
  </fonts>
  <fills count="5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FFF00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3" fontId="5" fillId="0" borderId="0" pivotButton="0" quotePrefix="0" xfId="0"/>
    <xf numFmtId="3" fontId="4" fillId="0" borderId="0" pivotButton="0" quotePrefix="0" xfId="0"/>
    <xf numFmtId="9" fontId="5" fillId="3" borderId="0" pivotButton="0" quotePrefix="0" xfId="0"/>
    <xf numFmtId="164" fontId="5" fillId="3" borderId="0" pivotButton="0" quotePrefix="0" xfId="0"/>
    <xf numFmtId="164" fontId="4" fillId="0" borderId="0" pivotButton="0" quotePrefix="0" xfId="0"/>
    <xf numFmtId="165" fontId="5" fillId="0" borderId="0" pivotButton="0" quotePrefix="0" xfId="0"/>
    <xf numFmtId="9" fontId="5" fillId="0" borderId="0" pivotButton="0" quotePrefix="0" xfId="0"/>
    <xf numFmtId="165" fontId="4" fillId="0" borderId="0" pivotButton="0" quotePrefix="0" xfId="0"/>
    <xf numFmtId="0" fontId="6" fillId="4" borderId="0" pivotButton="0" quotePrefix="0" xfId="0"/>
    <xf numFmtId="0" fontId="3" fillId="2" borderId="0" applyAlignment="1" pivotButton="0" quotePrefix="0" xfId="0">
      <alignment horizontal="left" wrapText="1"/>
    </xf>
    <xf numFmtId="0" fontId="3" fillId="2" borderId="0" applyAlignment="1" pivotButton="0" quotePrefix="0" xfId="0">
      <alignment horizontal="center" wrapText="1"/>
    </xf>
    <xf numFmtId="166" fontId="4" fillId="0" borderId="0" pivotButton="0" quotePrefix="0" xfId="0"/>
    <xf numFmtId="0" fontId="6" fillId="0" borderId="0" pivotButton="0" quotePrefix="0" xfId="0"/>
    <xf numFmtId="166" fontId="6" fillId="4" borderId="0" pivotButton="0" quotePrefix="0" xfId="0"/>
    <xf numFmtId="165" fontId="6" fillId="3" borderId="0" pivotButton="0" quotePrefix="0" xfId="0"/>
    <xf numFmtId="167" fontId="6" fillId="0" borderId="0" pivotButton="0" quotePrefix="0" xfId="0"/>
    <xf numFmtId="0" fontId="7" fillId="0" borderId="0" pivotButton="0" quotePrefix="0" xfId="0"/>
    <xf numFmtId="0" fontId="6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60" customWidth="1" min="5" max="5"/>
  </cols>
  <sheetData>
    <row r="1">
      <c r="A1" s="1" t="inlineStr">
        <is>
          <t>Toddler Companion — Realtime API Cost Model</t>
        </is>
      </c>
    </row>
    <row r="2">
      <c r="A2" s="2" t="inlineStr">
        <is>
          <t>Edit the BLUE cells. Everything else is a formula.</t>
        </is>
      </c>
    </row>
    <row r="4">
      <c r="A4" s="3" t="inlineStr">
        <is>
          <t>USAGE</t>
        </is>
      </c>
      <c r="B4" s="4" t="n"/>
      <c r="C4" s="4" t="n"/>
      <c r="D4" s="4" t="n"/>
      <c r="E4" s="4" t="n"/>
    </row>
    <row r="5">
      <c r="A5" s="5" t="inlineStr">
        <is>
          <t>Sessions per day</t>
        </is>
      </c>
      <c r="B5" s="6" t="n">
        <v>2</v>
      </c>
      <c r="E5" s="2" t="inlineStr">
        <is>
          <t>Brief targets 15-20 min sessions, designed to end (§2.7)</t>
        </is>
      </c>
    </row>
    <row r="6">
      <c r="A6" s="5" t="inlineStr">
        <is>
          <t>Minutes per session</t>
        </is>
      </c>
      <c r="B6" s="6" t="n">
        <v>20</v>
      </c>
      <c r="E6" s="2" t="inlineStr">
        <is>
          <t>§7 success criterion is 20 min of sustained play</t>
        </is>
      </c>
    </row>
    <row r="7">
      <c r="A7" s="5" t="inlineStr">
        <is>
          <t>Days per month</t>
        </is>
      </c>
      <c r="B7" s="6" t="n">
        <v>30</v>
      </c>
    </row>
    <row r="8">
      <c r="A8" s="5" t="inlineStr">
        <is>
          <t>Sessions per month</t>
        </is>
      </c>
      <c r="B8" s="7">
        <f>B5*B7</f>
        <v>60.0</v>
      </c>
    </row>
    <row r="10">
      <c r="A10" s="3" t="inlineStr">
        <is>
          <t>DUTY CYCLE  —  this is where the design saves you money</t>
        </is>
      </c>
      <c r="B10" s="4" t="n"/>
      <c r="C10" s="4" t="n"/>
      <c r="D10" s="4" t="n"/>
      <c r="E10" s="4" t="n"/>
    </row>
    <row r="11">
      <c r="A11" s="5" t="inlineStr">
        <is>
          <t>Child speech duty cycle (fraction of session mic is open)</t>
        </is>
      </c>
      <c r="B11" s="8" t="n">
        <v>0.35</v>
      </c>
      <c r="E11" s="2" t="inlineStr">
        <is>
          <t>Local VAD gates the mic (§3.2). Toddler vocalises a lot but not continuously.</t>
        </is>
      </c>
    </row>
    <row r="12">
      <c r="A12" s="5" t="inlineStr">
        <is>
          <t>Agent responses per session</t>
        </is>
      </c>
      <c r="B12" s="6" t="n">
        <v>45</v>
      </c>
      <c r="E12" s="2" t="inlineStr">
        <is>
          <t>One per child utterance the agent acts on</t>
        </is>
      </c>
    </row>
    <row r="13">
      <c r="A13" s="5" t="inlineStr">
        <is>
          <t>Agent response length (seconds)</t>
        </is>
      </c>
      <c r="B13" s="9" t="n">
        <v>1.5</v>
      </c>
      <c r="E13" s="2" t="inlineStr">
        <is>
          <t>§2.5 caps responses at ~1 sentence / 1-2s. Brevity is a cost lever AND a design principle.</t>
        </is>
      </c>
    </row>
    <row r="14">
      <c r="A14" s="5" t="inlineStr">
        <is>
          <t>Frames sent per session</t>
        </is>
      </c>
      <c r="B14" s="6" t="n">
        <v>45</v>
      </c>
      <c r="E14" s="2" t="inlineStr">
        <is>
          <t>§2.4: 1-2 frames at speech onset, NOT continuous video. Continuous 1fps for 20min = 1,200 frames.</t>
        </is>
      </c>
    </row>
    <row r="16">
      <c r="A16" s="3" t="inlineStr">
        <is>
          <t>DERIVED — billed audio per session</t>
        </is>
      </c>
      <c r="B16" s="4" t="n"/>
      <c r="C16" s="4" t="n"/>
      <c r="D16" s="4" t="n"/>
      <c r="E16" s="4" t="n"/>
    </row>
    <row r="17">
      <c r="A17" s="5" t="inlineStr">
        <is>
          <t>Child audio minutes billed per session</t>
        </is>
      </c>
      <c r="B17" s="10">
        <f>B6*B11</f>
        <v>7.0</v>
      </c>
    </row>
    <row r="18">
      <c r="A18" s="5" t="inlineStr">
        <is>
          <t>Agent audio minutes billed per session</t>
        </is>
      </c>
      <c r="B18" s="10">
        <f>B12*B13/60</f>
        <v>1.125</v>
      </c>
    </row>
    <row r="19">
      <c r="A19" s="5" t="inlineStr">
        <is>
          <t>Total active audio minutes (vs 20 min wall-clock)</t>
        </is>
      </c>
      <c r="B19" s="10">
        <f>B17+B18</f>
        <v>8.125</v>
      </c>
      <c r="E19" s="2" t="inlineStr">
        <is>
          <t>The gap between this and wall-clock is the whole cost story.</t>
        </is>
      </c>
    </row>
    <row r="21">
      <c r="A21" s="3" t="inlineStr">
        <is>
          <t>PROVIDER TOKEN MECHANICS</t>
        </is>
      </c>
      <c r="B21" s="4" t="n"/>
      <c r="C21" s="4" t="n"/>
      <c r="D21" s="4" t="n"/>
      <c r="E21" s="4" t="n"/>
    </row>
    <row r="22">
      <c r="A22" s="5" t="inlineStr">
        <is>
          <t>User audio tokens per minute</t>
        </is>
      </c>
      <c r="B22" s="6" t="n">
        <v>600</v>
      </c>
      <c r="E22" s="2" t="inlineStr">
        <is>
          <t>OpenAI: 1 token / 100ms of user audio</t>
        </is>
      </c>
    </row>
    <row r="23">
      <c r="A23" s="5" t="inlineStr">
        <is>
          <t>Assistant audio tokens per minute</t>
        </is>
      </c>
      <c r="B23" s="6" t="n">
        <v>1200</v>
      </c>
      <c r="E23" s="2" t="inlineStr">
        <is>
          <t>OpenAI: 1 token / 50ms of assistant audio</t>
        </is>
      </c>
    </row>
    <row r="24">
      <c r="A24" s="5" t="inlineStr">
        <is>
          <t>Tokens per image frame (low-res)</t>
        </is>
      </c>
      <c r="B24" s="6" t="n">
        <v>85</v>
      </c>
      <c r="E24" s="2" t="inlineStr">
        <is>
          <t>Low-detail image. Verify against your frame size.</t>
        </is>
      </c>
    </row>
    <row r="26">
      <c r="A26" s="3" t="inlineStr">
        <is>
          <t>CONTEXT REPLAY  —  LARGEST UNCERTAINTY, MEASURE THIS FIRST</t>
        </is>
      </c>
      <c r="B26" s="4" t="n"/>
      <c r="C26" s="4" t="n"/>
      <c r="D26" s="4" t="n"/>
      <c r="E26" s="4" t="n"/>
    </row>
    <row r="27">
      <c r="A27" s="5" t="inlineStr">
        <is>
          <t>Context replay multiplier</t>
        </is>
      </c>
      <c r="B27" s="9" t="n">
        <v>4</v>
      </c>
      <c r="E27" s="2" t="inlineStr">
        <is>
          <t>Accumulated conversation is reprocessed per response. 1.0 = no replay. This is a GUESS — instrument it.</t>
        </is>
      </c>
    </row>
    <row r="28">
      <c r="A28" s="5" t="inlineStr">
        <is>
          <t>Cached input rate (fraction of full price)</t>
        </is>
      </c>
      <c r="B28" s="8" t="n">
        <v>0.25</v>
      </c>
      <c r="E28" s="2" t="inlineStr">
        <is>
          <t>Prompt caching discount on replayed context. Verify against your provider's current rate.</t>
        </is>
      </c>
    </row>
    <row r="30">
      <c r="A30" s="3" t="inlineStr">
        <is>
          <t>COMMERCIAL TARGET</t>
        </is>
      </c>
      <c r="B30" s="4" t="n"/>
      <c r="C30" s="4" t="n"/>
      <c r="D30" s="4" t="n"/>
      <c r="E30" s="4" t="n"/>
    </row>
    <row r="31">
      <c r="A31" s="5" t="inlineStr">
        <is>
          <t>Target retail price per month ($)</t>
        </is>
      </c>
      <c r="B31" s="11" t="n">
        <v>10</v>
      </c>
      <c r="E31" s="2" t="inlineStr">
        <is>
          <t>What a parent plausibly pays for a kids' app</t>
        </is>
      </c>
    </row>
    <row r="32">
      <c r="A32" s="5" t="inlineStr">
        <is>
          <t>Target gross margin</t>
        </is>
      </c>
      <c r="B32" s="12" t="n">
        <v>0.7</v>
      </c>
    </row>
    <row r="33">
      <c r="A33" s="5" t="inlineStr">
        <is>
          <t>COGS budget per month ($)</t>
        </is>
      </c>
      <c r="B33" s="13">
        <f>B31*(1-B32)</f>
        <v>3.0000000000000004</v>
      </c>
      <c r="E33" s="2" t="inlineStr">
        <is>
          <t>Everything below this line has to fit inside this number.</t>
        </is>
      </c>
    </row>
    <row r="35">
      <c r="A35" s="3" t="inlineStr">
        <is>
          <t>PRICING  ($ per 1M tokens, verified 2026-09-07)</t>
        </is>
      </c>
      <c r="B35" s="4" t="n"/>
      <c r="C35" s="4" t="n"/>
      <c r="D35" s="4" t="n"/>
      <c r="E35" s="4" t="n"/>
    </row>
    <row r="36">
      <c r="A36" s="14" t="inlineStr">
        <is>
          <t>Model</t>
        </is>
      </c>
      <c r="B36" s="14" t="inlineStr">
        <is>
          <t>Audio in</t>
        </is>
      </c>
      <c r="C36" s="14" t="inlineStr">
        <is>
          <t>Audio out</t>
        </is>
      </c>
    </row>
    <row r="37">
      <c r="A37" s="5" t="inlineStr">
        <is>
          <t>gpt-realtime-2.1</t>
        </is>
      </c>
      <c r="B37" s="11" t="n">
        <v>32</v>
      </c>
      <c r="C37" s="11" t="n">
        <v>64</v>
      </c>
      <c r="E37" s="2" t="inlineStr">
        <is>
          <t>Flagship. Overkill for a one-sentence sportscaster.</t>
        </is>
      </c>
    </row>
    <row r="38">
      <c r="A38" s="5" t="inlineStr">
        <is>
          <t>gpt-realtime-2.1-mini</t>
        </is>
      </c>
      <c r="B38" s="11" t="n">
        <v>10</v>
      </c>
      <c r="C38" s="11" t="n">
        <v>20</v>
      </c>
      <c r="E38" s="2" t="inlineStr">
        <is>
          <t>RECOMMENDED for prototype — see docs/provider-matrix.md</t>
        </is>
      </c>
    </row>
    <row r="39">
      <c r="A39" s="5" t="inlineStr">
        <is>
          <t>gemini-3.1-flash-live</t>
        </is>
      </c>
      <c r="B39" s="11" t="n">
        <v>3</v>
      </c>
      <c r="C39" s="11" t="n">
        <v>12</v>
      </c>
      <c r="E39" s="2" t="inlineStr">
        <is>
          <t>CHEAPEST BUT PROHIBITED: terms bar services likely accessed by under-18s.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2" customWidth="1" min="4" max="4"/>
    <col width="40" customWidth="1" min="5" max="5"/>
  </cols>
  <sheetData>
    <row r="1">
      <c r="A1" s="1" t="inlineStr">
        <is>
          <t>Cost per session and per month, by model</t>
        </is>
      </c>
    </row>
    <row r="2">
      <c r="A2" s="2" t="inlineStr">
        <is>
          <t>All figures flow from the Assumptions tab.</t>
        </is>
      </c>
    </row>
    <row r="4">
      <c r="A4" s="15" t="inlineStr">
        <is>
          <t>Metric</t>
        </is>
      </c>
      <c r="B4" s="16" t="inlineStr">
        <is>
          <t>gpt-realtime-2.1</t>
        </is>
      </c>
      <c r="C4" s="16" t="inlineStr">
        <is>
          <t>gpt-realtime-2.1-mini</t>
        </is>
      </c>
      <c r="D4" s="16" t="inlineStr">
        <is>
          <t>gemini-3.1-flash-live</t>
        </is>
      </c>
    </row>
    <row r="5">
      <c r="A5" s="5" t="inlineStr">
        <is>
          <t>Audio in — $/1M tokens</t>
        </is>
      </c>
      <c r="B5" s="13">
        <f>Assumptions!B37</f>
        <v>32.0</v>
      </c>
      <c r="C5" s="13">
        <f>Assumptions!B38</f>
        <v>10.0</v>
      </c>
      <c r="D5" s="13">
        <f>Assumptions!B39</f>
        <v>3.0</v>
      </c>
    </row>
    <row r="6">
      <c r="A6" s="5" t="inlineStr">
        <is>
          <t>Audio out — $/1M tokens</t>
        </is>
      </c>
      <c r="B6" s="13">
        <f>Assumptions!C37</f>
        <v>64.0</v>
      </c>
      <c r="C6" s="13">
        <f>Assumptions!C38</f>
        <v>20.0</v>
      </c>
      <c r="D6" s="13">
        <f>Assumptions!C39</f>
        <v>12.0</v>
      </c>
    </row>
    <row r="8">
      <c r="A8" s="3" t="inlineStr">
        <is>
          <t>TOKENS PER SESSION</t>
        </is>
      </c>
      <c r="B8" s="4" t="n"/>
      <c r="C8" s="4" t="n"/>
      <c r="D8" s="4" t="n"/>
      <c r="E8" s="4" t="n"/>
    </row>
    <row r="9">
      <c r="A9" s="5" t="inlineStr">
        <is>
          <t>Input audio tokens</t>
        </is>
      </c>
      <c r="B9" s="7">
        <f>Assumptions!$B$17*Assumptions!$B$22</f>
        <v>4200.0</v>
      </c>
      <c r="C9" s="7">
        <f>Assumptions!$B$17*Assumptions!$B$22</f>
        <v>4200.0</v>
      </c>
      <c r="D9" s="7">
        <f>Assumptions!$B$17*Assumptions!$B$22</f>
        <v>4200.0</v>
      </c>
    </row>
    <row r="10">
      <c r="A10" s="5" t="inlineStr">
        <is>
          <t>Frame tokens</t>
        </is>
      </c>
      <c r="B10" s="7">
        <f>Assumptions!$B$14*Assumptions!$B$24</f>
        <v>3825.0</v>
      </c>
      <c r="C10" s="7">
        <f>Assumptions!$B$14*Assumptions!$B$24</f>
        <v>3825.0</v>
      </c>
      <c r="D10" s="7">
        <f>Assumptions!$B$14*Assumptions!$B$24</f>
        <v>3825.0</v>
      </c>
      <c r="E10" s="2" t="inlineStr">
        <is>
          <t>Only 45 frames. Continuous video would be ~26x this.</t>
        </is>
      </c>
    </row>
    <row r="11">
      <c r="A11" s="5" t="inlineStr">
        <is>
          <t>Output audio tokens</t>
        </is>
      </c>
      <c r="B11" s="7">
        <f>Assumptions!$B$18*Assumptions!$B$23</f>
        <v>1350.0</v>
      </c>
      <c r="C11" s="7">
        <f>Assumptions!$B$18*Assumptions!$B$23</f>
        <v>1350.0</v>
      </c>
      <c r="D11" s="7">
        <f>Assumptions!$B$18*Assumptions!$B$23</f>
        <v>1350.0</v>
      </c>
    </row>
    <row r="12">
      <c r="A12" s="5" t="inlineStr">
        <is>
          <t>Replayed context tokens (cached)</t>
        </is>
      </c>
      <c r="B12" s="7">
        <f>(B9+B10)*(Assumptions!$B$27-1)</f>
        <v>24075.0</v>
      </c>
      <c r="C12" s="7">
        <f>(C9+C10)*(Assumptions!$B$27-1)</f>
        <v>24075.0</v>
      </c>
      <c r="D12" s="7">
        <f>(D9+D10)*(Assumptions!$B$27-1)</f>
        <v>24075.0</v>
      </c>
    </row>
    <row r="14">
      <c r="A14" s="3" t="inlineStr">
        <is>
          <t>COST PER SESSION</t>
        </is>
      </c>
      <c r="B14" s="4" t="n"/>
      <c r="C14" s="4" t="n"/>
      <c r="D14" s="4" t="n"/>
      <c r="E14" s="4" t="n"/>
    </row>
    <row r="15">
      <c r="A15" s="5" t="inlineStr">
        <is>
          <t>Fresh input</t>
        </is>
      </c>
      <c r="B15" s="17">
        <f>(B9+B10)/1000000*B5</f>
        <v>0.2568</v>
      </c>
      <c r="C15" s="17">
        <f>(C9+C10)/1000000*C5</f>
        <v>0.08024999999999999</v>
      </c>
      <c r="D15" s="17">
        <f>(D9+D10)/1000000*D5</f>
        <v>0.024075</v>
      </c>
    </row>
    <row r="16">
      <c r="A16" s="5" t="inlineStr">
        <is>
          <t>Replayed input (cached)</t>
        </is>
      </c>
      <c r="B16" s="17">
        <f>B12/1000000*B5*Assumptions!$B$28</f>
        <v>0.1926</v>
      </c>
      <c r="C16" s="17">
        <f>C12/1000000*C5*Assumptions!$B$28</f>
        <v>0.0601875</v>
      </c>
      <c r="D16" s="17">
        <f>D12/1000000*D5*Assumptions!$B$28</f>
        <v>0.01805625</v>
      </c>
    </row>
    <row r="17">
      <c r="A17" s="5" t="inlineStr">
        <is>
          <t>Output</t>
        </is>
      </c>
      <c r="B17" s="17">
        <f>B11/1000000*B6</f>
        <v>0.0864</v>
      </c>
      <c r="C17" s="17">
        <f>C11/1000000*C6</f>
        <v>0.027000000000000003</v>
      </c>
      <c r="D17" s="17">
        <f>D11/1000000*D6</f>
        <v>0.0162</v>
      </c>
    </row>
    <row r="18">
      <c r="A18" s="18" t="inlineStr">
        <is>
          <t>Total per session</t>
        </is>
      </c>
      <c r="B18" s="19">
        <f>SUM(B15:B17)</f>
        <v>0.5357999999999999</v>
      </c>
      <c r="C18" s="19">
        <f>SUM(C15:C17)</f>
        <v>0.1674375</v>
      </c>
      <c r="D18" s="19">
        <f>SUM(D15:D17)</f>
        <v>0.058331249999999994</v>
      </c>
    </row>
    <row r="20">
      <c r="A20" s="3" t="inlineStr">
        <is>
          <t>COST PER MONTH</t>
        </is>
      </c>
      <c r="B20" s="4" t="n"/>
      <c r="C20" s="4" t="n"/>
      <c r="D20" s="4" t="n"/>
      <c r="E20" s="4" t="n"/>
    </row>
    <row r="21">
      <c r="A21" s="18" t="inlineStr">
        <is>
          <t>Cost per month</t>
        </is>
      </c>
      <c r="B21" s="20">
        <f>B18*Assumptions!$B$8</f>
        <v>32.147999999999996</v>
      </c>
      <c r="C21" s="20">
        <f>C18*Assumptions!$B$8</f>
        <v>10.046249999999999</v>
      </c>
      <c r="D21" s="20">
        <f>D18*Assumptions!$B$8</f>
        <v>3.499875</v>
      </c>
    </row>
    <row r="22">
      <c r="A22" s="5" t="inlineStr">
        <is>
          <t>COGS budget per month</t>
        </is>
      </c>
      <c r="B22" s="13">
        <f>Assumptions!$B$33</f>
        <v>3.0000000000000004</v>
      </c>
      <c r="C22" s="13">
        <f>Assumptions!$B$33</f>
        <v>3.0000000000000004</v>
      </c>
      <c r="D22" s="13">
        <f>Assumptions!$B$33</f>
        <v>3.0000000000000004</v>
      </c>
    </row>
    <row r="23">
      <c r="A23" s="18" t="inlineStr">
        <is>
          <t>Multiple of budget</t>
        </is>
      </c>
      <c r="B23" s="21">
        <f>IF(B22=0,"n/a",B21/B22)</f>
        <v>10.715999999999998</v>
      </c>
      <c r="C23" s="21">
        <f>IF(C22=0,"n/a",C21/C22)</f>
        <v>3.348749999999999</v>
      </c>
      <c r="D23" s="21">
        <f>IF(D22=0,"n/a",D21/D22)</f>
        <v>1.1666249999999998</v>
      </c>
    </row>
    <row r="24">
      <c r="A24" s="18" t="inlineStr">
        <is>
          <t>Verdict</t>
        </is>
      </c>
      <c r="B24" s="18" t="str">
        <f>IF(B21&lt;=B22,"WITHIN BUDGET","OVER BUDGET")</f>
        <v>OVER BUDGET</v>
      </c>
      <c r="C24" s="18" t="str">
        <f>IF(C21&lt;=C22,"WITHIN BUDGET","OVER BUDGET")</f>
        <v>OVER BUDGET</v>
      </c>
      <c r="D24" s="18" t="str">
        <f>IF(D21&lt;=D22,"WITHIN BUDGET","OVER BUDGET")</f>
        <v>OVER BUDGET</v>
      </c>
    </row>
    <row r="25">
      <c r="A25" s="5" t="inlineStr">
        <is>
          <t>Break-even retail price ($/mo)</t>
        </is>
      </c>
      <c r="B25" s="13">
        <f>IF(Assumptions!$B$32&gt;=1,"n/a",B21/(1-Assumptions!$B$32))</f>
        <v>107.15999999999997</v>
      </c>
      <c r="C25" s="13">
        <f>IF(Assumptions!$B$32&gt;=1,"n/a",C21/(1-Assumptions!$B$32))</f>
        <v>33.48749999999999</v>
      </c>
      <c r="D25" s="13">
        <f>IF(Assumptions!$B$32&gt;=1,"n/a",D21/(1-Assumptions!$B$32))</f>
        <v>11.666249999999998</v>
      </c>
      <c r="E25" s="2" t="inlineStr">
        <is>
          <t>What you'd have to charge to hit target margin.</t>
        </is>
      </c>
    </row>
    <row r="27">
      <c r="A27" s="22" t="inlineStr">
        <is>
          <t>NOTE: gemini-3.1-flash-live is shown for comparison only. Its terms prohibit</t>
        </is>
      </c>
    </row>
    <row r="28">
      <c r="A28" s="22" t="inlineStr">
        <is>
          <t>use in a service likely to be accessed by under-18s. See docs/provider-matrix.md.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Monthly cost — gpt-realtime-2.1-mini</t>
        </is>
      </c>
    </row>
    <row r="2">
      <c r="A2" s="2" t="inlineStr">
        <is>
          <t>Duty cycle (down) vs sessions per day (across). Yellow = within COGS budget.</t>
        </is>
      </c>
    </row>
    <row r="4">
      <c r="A4" s="14" t="inlineStr">
        <is>
          <t>Duty cycle \ sessions/day</t>
        </is>
      </c>
      <c r="B4" s="23" t="n">
        <v>1</v>
      </c>
      <c r="C4" s="23" t="n">
        <v>2</v>
      </c>
      <c r="D4" s="23" t="n">
        <v>3</v>
      </c>
      <c r="E4" s="23" t="n">
        <v>4</v>
      </c>
      <c r="F4" s="23" t="n">
        <v>5</v>
      </c>
    </row>
    <row r="5">
      <c r="A5" s="12" t="n">
        <v>0.15</v>
      </c>
      <c r="B5" s="13">
        <f>((Assumptions!$B$6*$A5*Assumptions!$B$22 + Assumptions!$B$14*Assumptions!$B$24)/1000000*Assumptions!$B$38+((Assumptions!$B$6*$A5*Assumptions!$B$22 + Assumptions!$B$14*Assumptions!$B$24)*(Assumptions!$B$27-1))/1000000*Assumptions!$B$38*Assumptions!$B$28+(Assumptions!$B$18*Assumptions!$B$23)/1000000*Assumptions!$C$38)*1*Assumptions!$B$7</f>
        <v>3.763125</v>
      </c>
      <c r="C5" s="13">
        <f>((Assumptions!$B$6*$A5*Assumptions!$B$22 + Assumptions!$B$14*Assumptions!$B$24)/1000000*Assumptions!$B$38+((Assumptions!$B$6*$A5*Assumptions!$B$22 + Assumptions!$B$14*Assumptions!$B$24)*(Assumptions!$B$27-1))/1000000*Assumptions!$B$38*Assumptions!$B$28+(Assumptions!$B$18*Assumptions!$B$23)/1000000*Assumptions!$C$38)*2*Assumptions!$B$7</f>
        <v>7.52625</v>
      </c>
      <c r="D5" s="13">
        <f>((Assumptions!$B$6*$A5*Assumptions!$B$22 + Assumptions!$B$14*Assumptions!$B$24)/1000000*Assumptions!$B$38+((Assumptions!$B$6*$A5*Assumptions!$B$22 + Assumptions!$B$14*Assumptions!$B$24)*(Assumptions!$B$27-1))/1000000*Assumptions!$B$38*Assumptions!$B$28+(Assumptions!$B$18*Assumptions!$B$23)/1000000*Assumptions!$C$38)*3*Assumptions!$B$7</f>
        <v>11.289375000000001</v>
      </c>
      <c r="E5" s="13">
        <f>((Assumptions!$B$6*$A5*Assumptions!$B$22 + Assumptions!$B$14*Assumptions!$B$24)/1000000*Assumptions!$B$38+((Assumptions!$B$6*$A5*Assumptions!$B$22 + Assumptions!$B$14*Assumptions!$B$24)*(Assumptions!$B$27-1))/1000000*Assumptions!$B$38*Assumptions!$B$28+(Assumptions!$B$18*Assumptions!$B$23)/1000000*Assumptions!$C$38)*4*Assumptions!$B$7</f>
        <v>15.0525</v>
      </c>
      <c r="F5" s="13">
        <f>((Assumptions!$B$6*$A5*Assumptions!$B$22 + Assumptions!$B$14*Assumptions!$B$24)/1000000*Assumptions!$B$38+((Assumptions!$B$6*$A5*Assumptions!$B$22 + Assumptions!$B$14*Assumptions!$B$24)*(Assumptions!$B$27-1))/1000000*Assumptions!$B$38*Assumptions!$B$28+(Assumptions!$B$18*Assumptions!$B$23)/1000000*Assumptions!$C$38)*5*Assumptions!$B$7</f>
        <v>18.815625</v>
      </c>
    </row>
    <row r="6">
      <c r="A6" s="12" t="n">
        <v>0.25</v>
      </c>
      <c r="B6" s="13">
        <f>((Assumptions!$B$6*$A6*Assumptions!$B$22 + Assumptions!$B$14*Assumptions!$B$24)/1000000*Assumptions!$B$38+((Assumptions!$B$6*$A6*Assumptions!$B$22 + Assumptions!$B$14*Assumptions!$B$24)*(Assumptions!$B$27-1))/1000000*Assumptions!$B$38*Assumptions!$B$28+(Assumptions!$B$18*Assumptions!$B$23)/1000000*Assumptions!$C$38)*1*Assumptions!$B$7</f>
        <v>4.3931249999999995</v>
      </c>
      <c r="C6" s="13">
        <f>((Assumptions!$B$6*$A6*Assumptions!$B$22 + Assumptions!$B$14*Assumptions!$B$24)/1000000*Assumptions!$B$38+((Assumptions!$B$6*$A6*Assumptions!$B$22 + Assumptions!$B$14*Assumptions!$B$24)*(Assumptions!$B$27-1))/1000000*Assumptions!$B$38*Assumptions!$B$28+(Assumptions!$B$18*Assumptions!$B$23)/1000000*Assumptions!$C$38)*2*Assumptions!$B$7</f>
        <v>8.786249999999999</v>
      </c>
      <c r="D6" s="13">
        <f>((Assumptions!$B$6*$A6*Assumptions!$B$22 + Assumptions!$B$14*Assumptions!$B$24)/1000000*Assumptions!$B$38+((Assumptions!$B$6*$A6*Assumptions!$B$22 + Assumptions!$B$14*Assumptions!$B$24)*(Assumptions!$B$27-1))/1000000*Assumptions!$B$38*Assumptions!$B$28+(Assumptions!$B$18*Assumptions!$B$23)/1000000*Assumptions!$C$38)*3*Assumptions!$B$7</f>
        <v>13.179375</v>
      </c>
      <c r="E6" s="13">
        <f>((Assumptions!$B$6*$A6*Assumptions!$B$22 + Assumptions!$B$14*Assumptions!$B$24)/1000000*Assumptions!$B$38+((Assumptions!$B$6*$A6*Assumptions!$B$22 + Assumptions!$B$14*Assumptions!$B$24)*(Assumptions!$B$27-1))/1000000*Assumptions!$B$38*Assumptions!$B$28+(Assumptions!$B$18*Assumptions!$B$23)/1000000*Assumptions!$C$38)*4*Assumptions!$B$7</f>
        <v>17.572499999999998</v>
      </c>
      <c r="F6" s="13">
        <f>((Assumptions!$B$6*$A6*Assumptions!$B$22 + Assumptions!$B$14*Assumptions!$B$24)/1000000*Assumptions!$B$38+((Assumptions!$B$6*$A6*Assumptions!$B$22 + Assumptions!$B$14*Assumptions!$B$24)*(Assumptions!$B$27-1))/1000000*Assumptions!$B$38*Assumptions!$B$28+(Assumptions!$B$18*Assumptions!$B$23)/1000000*Assumptions!$C$38)*5*Assumptions!$B$7</f>
        <v>21.965625</v>
      </c>
    </row>
    <row r="7">
      <c r="A7" s="12" t="n">
        <v>0.35</v>
      </c>
      <c r="B7" s="13">
        <f>((Assumptions!$B$6*$A7*Assumptions!$B$22 + Assumptions!$B$14*Assumptions!$B$24)/1000000*Assumptions!$B$38+((Assumptions!$B$6*$A7*Assumptions!$B$22 + Assumptions!$B$14*Assumptions!$B$24)*(Assumptions!$B$27-1))/1000000*Assumptions!$B$38*Assumptions!$B$28+(Assumptions!$B$18*Assumptions!$B$23)/1000000*Assumptions!$C$38)*1*Assumptions!$B$7</f>
        <v>5.023124999999999</v>
      </c>
      <c r="C7" s="13">
        <f>((Assumptions!$B$6*$A7*Assumptions!$B$22 + Assumptions!$B$14*Assumptions!$B$24)/1000000*Assumptions!$B$38+((Assumptions!$B$6*$A7*Assumptions!$B$22 + Assumptions!$B$14*Assumptions!$B$24)*(Assumptions!$B$27-1))/1000000*Assumptions!$B$38*Assumptions!$B$28+(Assumptions!$B$18*Assumptions!$B$23)/1000000*Assumptions!$C$38)*2*Assumptions!$B$7</f>
        <v>10.046249999999999</v>
      </c>
      <c r="D7" s="13">
        <f>((Assumptions!$B$6*$A7*Assumptions!$B$22 + Assumptions!$B$14*Assumptions!$B$24)/1000000*Assumptions!$B$38+((Assumptions!$B$6*$A7*Assumptions!$B$22 + Assumptions!$B$14*Assumptions!$B$24)*(Assumptions!$B$27-1))/1000000*Assumptions!$B$38*Assumptions!$B$28+(Assumptions!$B$18*Assumptions!$B$23)/1000000*Assumptions!$C$38)*3*Assumptions!$B$7</f>
        <v>15.069374999999997</v>
      </c>
      <c r="E7" s="13">
        <f>((Assumptions!$B$6*$A7*Assumptions!$B$22 + Assumptions!$B$14*Assumptions!$B$24)/1000000*Assumptions!$B$38+((Assumptions!$B$6*$A7*Assumptions!$B$22 + Assumptions!$B$14*Assumptions!$B$24)*(Assumptions!$B$27-1))/1000000*Assumptions!$B$38*Assumptions!$B$28+(Assumptions!$B$18*Assumptions!$B$23)/1000000*Assumptions!$C$38)*4*Assumptions!$B$7</f>
        <v>20.092499999999998</v>
      </c>
      <c r="F7" s="13">
        <f>((Assumptions!$B$6*$A7*Assumptions!$B$22 + Assumptions!$B$14*Assumptions!$B$24)/1000000*Assumptions!$B$38+((Assumptions!$B$6*$A7*Assumptions!$B$22 + Assumptions!$B$14*Assumptions!$B$24)*(Assumptions!$B$27-1))/1000000*Assumptions!$B$38*Assumptions!$B$28+(Assumptions!$B$18*Assumptions!$B$23)/1000000*Assumptions!$C$38)*5*Assumptions!$B$7</f>
        <v>25.115624999999998</v>
      </c>
    </row>
    <row r="8">
      <c r="A8" s="12" t="n">
        <v>0.5</v>
      </c>
      <c r="B8" s="13">
        <f>((Assumptions!$B$6*$A8*Assumptions!$B$22 + Assumptions!$B$14*Assumptions!$B$24)/1000000*Assumptions!$B$38+((Assumptions!$B$6*$A8*Assumptions!$B$22 + Assumptions!$B$14*Assumptions!$B$24)*(Assumptions!$B$27-1))/1000000*Assumptions!$B$38*Assumptions!$B$28+(Assumptions!$B$18*Assumptions!$B$23)/1000000*Assumptions!$C$38)*1*Assumptions!$B$7</f>
        <v>5.968125000000001</v>
      </c>
      <c r="C8" s="13">
        <f>((Assumptions!$B$6*$A8*Assumptions!$B$22 + Assumptions!$B$14*Assumptions!$B$24)/1000000*Assumptions!$B$38+((Assumptions!$B$6*$A8*Assumptions!$B$22 + Assumptions!$B$14*Assumptions!$B$24)*(Assumptions!$B$27-1))/1000000*Assumptions!$B$38*Assumptions!$B$28+(Assumptions!$B$18*Assumptions!$B$23)/1000000*Assumptions!$C$38)*2*Assumptions!$B$7</f>
        <v>11.936250000000001</v>
      </c>
      <c r="D8" s="13">
        <f>((Assumptions!$B$6*$A8*Assumptions!$B$22 + Assumptions!$B$14*Assumptions!$B$24)/1000000*Assumptions!$B$38+((Assumptions!$B$6*$A8*Assumptions!$B$22 + Assumptions!$B$14*Assumptions!$B$24)*(Assumptions!$B$27-1))/1000000*Assumptions!$B$38*Assumptions!$B$28+(Assumptions!$B$18*Assumptions!$B$23)/1000000*Assumptions!$C$38)*3*Assumptions!$B$7</f>
        <v>17.904375</v>
      </c>
      <c r="E8" s="13">
        <f>((Assumptions!$B$6*$A8*Assumptions!$B$22 + Assumptions!$B$14*Assumptions!$B$24)/1000000*Assumptions!$B$38+((Assumptions!$B$6*$A8*Assumptions!$B$22 + Assumptions!$B$14*Assumptions!$B$24)*(Assumptions!$B$27-1))/1000000*Assumptions!$B$38*Assumptions!$B$28+(Assumptions!$B$18*Assumptions!$B$23)/1000000*Assumptions!$C$38)*4*Assumptions!$B$7</f>
        <v>23.872500000000002</v>
      </c>
      <c r="F8" s="13">
        <f>((Assumptions!$B$6*$A8*Assumptions!$B$22 + Assumptions!$B$14*Assumptions!$B$24)/1000000*Assumptions!$B$38+((Assumptions!$B$6*$A8*Assumptions!$B$22 + Assumptions!$B$14*Assumptions!$B$24)*(Assumptions!$B$27-1))/1000000*Assumptions!$B$38*Assumptions!$B$28+(Assumptions!$B$18*Assumptions!$B$23)/1000000*Assumptions!$C$38)*5*Assumptions!$B$7</f>
        <v>29.840625000000003</v>
      </c>
    </row>
    <row r="9">
      <c r="A9" s="12" t="n">
        <v>0.7</v>
      </c>
      <c r="B9" s="13">
        <f>((Assumptions!$B$6*$A9*Assumptions!$B$22 + Assumptions!$B$14*Assumptions!$B$24)/1000000*Assumptions!$B$38+((Assumptions!$B$6*$A9*Assumptions!$B$22 + Assumptions!$B$14*Assumptions!$B$24)*(Assumptions!$B$27-1))/1000000*Assumptions!$B$38*Assumptions!$B$28+(Assumptions!$B$18*Assumptions!$B$23)/1000000*Assumptions!$C$38)*1*Assumptions!$B$7</f>
        <v>7.228125</v>
      </c>
      <c r="C9" s="13">
        <f>((Assumptions!$B$6*$A9*Assumptions!$B$22 + Assumptions!$B$14*Assumptions!$B$24)/1000000*Assumptions!$B$38+((Assumptions!$B$6*$A9*Assumptions!$B$22 + Assumptions!$B$14*Assumptions!$B$24)*(Assumptions!$B$27-1))/1000000*Assumptions!$B$38*Assumptions!$B$28+(Assumptions!$B$18*Assumptions!$B$23)/1000000*Assumptions!$C$38)*2*Assumptions!$B$7</f>
        <v>14.45625</v>
      </c>
      <c r="D9" s="13">
        <f>((Assumptions!$B$6*$A9*Assumptions!$B$22 + Assumptions!$B$14*Assumptions!$B$24)/1000000*Assumptions!$B$38+((Assumptions!$B$6*$A9*Assumptions!$B$22 + Assumptions!$B$14*Assumptions!$B$24)*(Assumptions!$B$27-1))/1000000*Assumptions!$B$38*Assumptions!$B$28+(Assumptions!$B$18*Assumptions!$B$23)/1000000*Assumptions!$C$38)*3*Assumptions!$B$7</f>
        <v>21.684375</v>
      </c>
      <c r="E9" s="13">
        <f>((Assumptions!$B$6*$A9*Assumptions!$B$22 + Assumptions!$B$14*Assumptions!$B$24)/1000000*Assumptions!$B$38+((Assumptions!$B$6*$A9*Assumptions!$B$22 + Assumptions!$B$14*Assumptions!$B$24)*(Assumptions!$B$27-1))/1000000*Assumptions!$B$38*Assumptions!$B$28+(Assumptions!$B$18*Assumptions!$B$23)/1000000*Assumptions!$C$38)*4*Assumptions!$B$7</f>
        <v>28.9125</v>
      </c>
      <c r="F9" s="13">
        <f>((Assumptions!$B$6*$A9*Assumptions!$B$22 + Assumptions!$B$14*Assumptions!$B$24)/1000000*Assumptions!$B$38+((Assumptions!$B$6*$A9*Assumptions!$B$22 + Assumptions!$B$14*Assumptions!$B$24)*(Assumptions!$B$27-1))/1000000*Assumptions!$B$38*Assumptions!$B$28+(Assumptions!$B$18*Assumptions!$B$23)/1000000*Assumptions!$C$38)*5*Assumptions!$B$7</f>
        <v>36.140625</v>
      </c>
    </row>
    <row r="11">
      <c r="A11" s="18" t="inlineStr">
        <is>
          <t>COGS budget per month</t>
        </is>
      </c>
      <c r="B11" s="20">
        <f>Assumptions!$B$33</f>
        <v>3.0000000000000004</v>
      </c>
    </row>
    <row r="13">
      <c r="A13" s="2" t="inlineStr">
        <is>
          <t>Read this as: which cells fall under the budget in B11.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2026-09-07T21:55:54Z</dcterms:created>
  <dcterms:modified xsi:type="dcterms:W3CDTF">2026-09-07T21:55:54Z</dcterms:modified>
</cp:coreProperties>
</file>